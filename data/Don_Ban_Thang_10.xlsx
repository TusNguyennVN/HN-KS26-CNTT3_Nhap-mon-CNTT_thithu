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i-tap\starter-kit-thithu\van-phong-pham-website\data\"/>
    </mc:Choice>
  </mc:AlternateContent>
  <bookViews>
    <workbookView xWindow="0" yWindow="0" windowWidth="17256" windowHeight="6768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62913"/>
</workbook>
</file>

<file path=xl/calcChain.xml><?xml version="1.0" encoding="utf-8"?>
<calcChain xmlns="http://schemas.openxmlformats.org/spreadsheetml/2006/main">
  <c r="G12" i="1" l="1"/>
  <c r="G13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F13" i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<sst xmlns="http://schemas.openxmlformats.org/spreadsheetml/2006/main" count="69" uniqueCount="51">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</sst>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6"/>
  <sheetViews>
    <sheetView tabSelected="1" workbookViewId="0">
      <selection activeCell="H3" sqref="H3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 t="str">
        <f>VLOOKUP(C2,SanPham!$A$1:$C$8,2,0)</f>
        <v>Ke sach mini</v>
      </c>
      <c r="F2" s="1">
        <f>VLOOKUP(C2,SanPham!$A$1:$C$8,3,0)</f>
        <v>100000</v>
      </c>
      <c r="G2">
        <f>D2*F2</f>
        <v>400000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VLOOKUP(C3,SanPham!$A$1:$C$8,2,0)</f>
        <v>Balo hoc sinh</v>
      </c>
      <c r="F3" s="1">
        <f>VLOOKUP(C3,SanPham!$A$1:$C$8,3,0)</f>
        <v>250000</v>
      </c>
      <c r="G3">
        <f t="shared" ref="G3:G16" si="0">D3*F3</f>
        <v>1000000</v>
      </c>
    </row>
    <row r="4" spans="1:7" hidden="1" x14ac:dyDescent="0.3">
      <c r="A4" t="s">
        <v>13</v>
      </c>
      <c r="B4" t="s">
        <v>14</v>
      </c>
      <c r="C4" t="s">
        <v>15</v>
      </c>
      <c r="D4">
        <v>2</v>
      </c>
      <c r="E4" t="str">
        <f>VLOOKUP(C4,SanPham!$A$1:$C$8,2,0)</f>
        <v>Loc vo 5 quyen</v>
      </c>
      <c r="F4" s="1">
        <f>VLOOKUP(C4,SanPham!$A$1:$C$8,3,0)</f>
        <v>60000</v>
      </c>
      <c r="G4">
        <f t="shared" si="0"/>
        <v>120000</v>
      </c>
    </row>
    <row r="5" spans="1:7" x14ac:dyDescent="0.3">
      <c r="A5" t="s">
        <v>16</v>
      </c>
      <c r="B5" t="s">
        <v>17</v>
      </c>
      <c r="C5" t="s">
        <v>9</v>
      </c>
      <c r="D5">
        <v>5</v>
      </c>
      <c r="E5" t="str">
        <f>VLOOKUP(C5,SanPham!$A$1:$C$8,2,0)</f>
        <v>Ke sach mini</v>
      </c>
      <c r="F5" s="1">
        <f>VLOOKUP(C5,SanPham!$A$1:$C$8,3,0)</f>
        <v>100000</v>
      </c>
      <c r="G5">
        <f t="shared" si="0"/>
        <v>500000</v>
      </c>
    </row>
    <row r="6" spans="1:7" hidden="1" x14ac:dyDescent="0.3">
      <c r="A6" t="s">
        <v>18</v>
      </c>
      <c r="B6" t="s">
        <v>19</v>
      </c>
      <c r="C6" t="s">
        <v>20</v>
      </c>
      <c r="D6">
        <v>1</v>
      </c>
      <c r="E6" t="str">
        <f>VLOOKUP(C6,SanPham!$A$1:$C$8,2,0)</f>
        <v>Bo but bi 10 chiec</v>
      </c>
      <c r="F6" s="1">
        <f>VLOOKUP(C6,SanPham!$A$1:$C$8,3,0)</f>
        <v>35000</v>
      </c>
      <c r="G6">
        <f t="shared" si="0"/>
        <v>35000</v>
      </c>
    </row>
    <row r="7" spans="1:7" hidden="1" x14ac:dyDescent="0.3">
      <c r="A7" t="s">
        <v>21</v>
      </c>
      <c r="B7" t="s">
        <v>22</v>
      </c>
      <c r="C7" t="s">
        <v>20</v>
      </c>
      <c r="D7">
        <v>4</v>
      </c>
      <c r="E7" t="str">
        <f>VLOOKUP(C7,SanPham!$A$1:$C$8,2,0)</f>
        <v>Bo but bi 10 chiec</v>
      </c>
      <c r="F7" s="1">
        <f>VLOOKUP(C7,SanPham!$A$1:$C$8,3,0)</f>
        <v>35000</v>
      </c>
      <c r="G7">
        <f t="shared" si="0"/>
        <v>140000</v>
      </c>
    </row>
    <row r="8" spans="1:7" x14ac:dyDescent="0.3">
      <c r="A8" t="s">
        <v>23</v>
      </c>
      <c r="B8" t="s">
        <v>24</v>
      </c>
      <c r="C8" t="s">
        <v>12</v>
      </c>
      <c r="D8">
        <v>5</v>
      </c>
      <c r="E8" t="str">
        <f>VLOOKUP(C8,SanPham!$A$1:$C$8,2,0)</f>
        <v>Balo hoc sinh</v>
      </c>
      <c r="F8" s="1">
        <f>VLOOKUP(C8,SanPham!$A$1:$C$8,3,0)</f>
        <v>250000</v>
      </c>
      <c r="G8">
        <f t="shared" si="0"/>
        <v>1250000</v>
      </c>
    </row>
    <row r="9" spans="1:7" hidden="1" x14ac:dyDescent="0.3">
      <c r="A9" t="s">
        <v>25</v>
      </c>
      <c r="B9" t="s">
        <v>26</v>
      </c>
      <c r="C9" t="s">
        <v>15</v>
      </c>
      <c r="D9">
        <v>3</v>
      </c>
      <c r="E9" t="str">
        <f>VLOOKUP(C9,SanPham!$A$1:$C$8,2,0)</f>
        <v>Loc vo 5 quyen</v>
      </c>
      <c r="F9" s="1">
        <f>VLOOKUP(C9,SanPham!$A$1:$C$8,3,0)</f>
        <v>60000</v>
      </c>
      <c r="G9">
        <f t="shared" si="0"/>
        <v>180000</v>
      </c>
    </row>
    <row r="10" spans="1:7" x14ac:dyDescent="0.3">
      <c r="A10" t="s">
        <v>27</v>
      </c>
      <c r="B10" t="s">
        <v>28</v>
      </c>
      <c r="C10" t="s">
        <v>12</v>
      </c>
      <c r="D10">
        <v>2</v>
      </c>
      <c r="E10" t="str">
        <f>VLOOKUP(C10,SanPham!$A$1:$C$8,2,0)</f>
        <v>Balo hoc sinh</v>
      </c>
      <c r="F10" s="1">
        <f>VLOOKUP(C10,SanPham!$A$1:$C$8,3,0)</f>
        <v>250000</v>
      </c>
      <c r="G10">
        <f t="shared" si="0"/>
        <v>500000</v>
      </c>
    </row>
    <row r="11" spans="1:7" x14ac:dyDescent="0.3">
      <c r="A11" t="s">
        <v>29</v>
      </c>
      <c r="B11" t="s">
        <v>30</v>
      </c>
      <c r="C11" t="s">
        <v>31</v>
      </c>
      <c r="D11">
        <v>2</v>
      </c>
      <c r="E11" t="str">
        <f>VLOOKUP(C11,SanPham!$A$1:$C$8,2,0)</f>
        <v>May tinh bo tui</v>
      </c>
      <c r="F11" s="1">
        <f>VLOOKUP(C11,SanPham!$A$1:$C$8,3,0)</f>
        <v>150000</v>
      </c>
      <c r="G11">
        <f t="shared" si="0"/>
        <v>300000</v>
      </c>
    </row>
    <row r="12" spans="1:7" hidden="1" x14ac:dyDescent="0.3">
      <c r="A12" t="s">
        <v>32</v>
      </c>
      <c r="B12" t="s">
        <v>33</v>
      </c>
      <c r="C12" t="s">
        <v>34</v>
      </c>
      <c r="D12">
        <v>2</v>
      </c>
      <c r="E12" t="str">
        <f>VLOOKUP(C12,SanPham!$A$1:$C$8,2,0)</f>
        <v>Giay A4 500 to</v>
      </c>
      <c r="F12" s="1">
        <f>VLOOKUP(C12,SanPham!$A$1:$C$8,3,0)</f>
        <v>75000</v>
      </c>
      <c r="G12">
        <f t="shared" si="0"/>
        <v>150000</v>
      </c>
    </row>
    <row r="13" spans="1:7" hidden="1" x14ac:dyDescent="0.3">
      <c r="A13" t="s">
        <v>35</v>
      </c>
      <c r="B13" t="s">
        <v>36</v>
      </c>
      <c r="C13" t="s">
        <v>15</v>
      </c>
      <c r="D13">
        <v>3</v>
      </c>
      <c r="E13" t="str">
        <f>VLOOKUP(C13,SanPham!$A$1:$C$8,2,0)</f>
        <v>Loc vo 5 quyen</v>
      </c>
      <c r="F13" s="1">
        <f>VLOOKUP(C13,SanPham!$A$1:$C$8,3,0)</f>
        <v>60000</v>
      </c>
      <c r="G13">
        <f t="shared" si="0"/>
        <v>180000</v>
      </c>
    </row>
    <row r="14" spans="1:7" hidden="1" x14ac:dyDescent="0.3">
      <c r="A14" t="s">
        <v>37</v>
      </c>
      <c r="B14" t="s">
        <v>38</v>
      </c>
      <c r="C14" t="s">
        <v>20</v>
      </c>
      <c r="D14">
        <v>5</v>
      </c>
      <c r="E14" t="str">
        <f>VLOOKUP(C14,SanPham!$A$1:$C$8,2,0)</f>
        <v>Bo but bi 10 chiec</v>
      </c>
      <c r="F14" s="1">
        <f>VLOOKUP(C14,SanPham!$A$1:$C$8,3,0)</f>
        <v>35000</v>
      </c>
      <c r="G14">
        <f t="shared" si="0"/>
        <v>175000</v>
      </c>
    </row>
    <row r="15" spans="1:7" x14ac:dyDescent="0.3">
      <c r="A15" t="s">
        <v>39</v>
      </c>
      <c r="B15" t="s">
        <v>40</v>
      </c>
      <c r="C15" t="s">
        <v>9</v>
      </c>
      <c r="D15">
        <v>4</v>
      </c>
      <c r="E15" t="str">
        <f>VLOOKUP(C15,SanPham!$A$1:$C$8,2,0)</f>
        <v>Ke sach mini</v>
      </c>
      <c r="F15" s="1">
        <f>VLOOKUP(C15,SanPham!$A$1:$C$8,3,0)</f>
        <v>100000</v>
      </c>
      <c r="G15">
        <f t="shared" si="0"/>
        <v>400000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5</v>
      </c>
      <c r="E16" t="str">
        <f>VLOOKUP(C16,SanPham!$A$1:$C$8,2,0)</f>
        <v>Hop but da nang</v>
      </c>
      <c r="F16" s="1">
        <f>VLOOKUP(C16,SanPham!$A$1:$C$8,3,0)</f>
        <v>45000</v>
      </c>
      <c r="G16">
        <f t="shared" si="0"/>
        <v>225000</v>
      </c>
    </row>
  </sheetData>
  <autoFilter ref="A1:G16">
    <filterColumn colId="6">
      <customFilters>
        <customFilter operator="greaterThanOrEqual" val="300000"/>
      </customFilters>
    </filterColumn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20</v>
      </c>
      <c r="B2" t="s">
        <v>44</v>
      </c>
      <c r="C2">
        <v>35000</v>
      </c>
    </row>
    <row r="3" spans="1:3" x14ac:dyDescent="0.3">
      <c r="A3" t="s">
        <v>15</v>
      </c>
      <c r="B3" t="s">
        <v>45</v>
      </c>
      <c r="C3">
        <v>60000</v>
      </c>
    </row>
    <row r="4" spans="1:3" x14ac:dyDescent="0.3">
      <c r="A4" t="s">
        <v>34</v>
      </c>
      <c r="B4" t="s">
        <v>46</v>
      </c>
      <c r="C4">
        <v>75000</v>
      </c>
    </row>
    <row r="5" spans="1:3" x14ac:dyDescent="0.3">
      <c r="A5" t="s">
        <v>12</v>
      </c>
      <c r="B5" t="s">
        <v>47</v>
      </c>
      <c r="C5">
        <v>250000</v>
      </c>
    </row>
    <row r="6" spans="1:3" x14ac:dyDescent="0.3">
      <c r="A6" t="s">
        <v>31</v>
      </c>
      <c r="B6" t="s">
        <v>48</v>
      </c>
      <c r="C6">
        <v>150000</v>
      </c>
    </row>
    <row r="7" spans="1:3" x14ac:dyDescent="0.3">
      <c r="A7" t="s">
        <v>9</v>
      </c>
      <c r="B7" t="s">
        <v>49</v>
      </c>
      <c r="C7">
        <v>100000</v>
      </c>
    </row>
    <row r="8" spans="1:3" x14ac:dyDescent="0.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Tú Nguyễnn</cp:lastModifiedBy>
  <dcterms:created xsi:type="dcterms:W3CDTF">2026-10-19T09:41:35Z</dcterms:created>
  <dcterms:modified xsi:type="dcterms:W3CDTF">2026-10-24T16:42:38Z</dcterms:modified>
</cp:coreProperties>
</file>